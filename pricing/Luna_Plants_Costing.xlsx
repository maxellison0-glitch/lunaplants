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9c7fb3626843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30d39bf83e94528"/>
    <x:sheet xmlns:r="http://schemas.openxmlformats.org/officeDocument/2006/relationships" name="Costing" sheetId="2" r:id="R960ba4501f2042e3"/>
    <x:sheet xmlns:r="http://schemas.openxmlformats.org/officeDocument/2006/relationships" name="Parts &amp; Assumptions" sheetId="3" r:id="R8a7ca042986641ef"/>
    <x:sheet xmlns:r="http://schemas.openxmlformats.org/officeDocument/2006/relationships" name="Sources" sheetId="4" r:id="R080d85c6c82c4f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£#,##0.00"/>
    <x:numFmt numFmtId="201" formatCode="0.0%"/>
  </x:numFmts>
  <x:fonts count="8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83B56"/>
      <x:name val="Carlito"/>
    </x:font>
    <x:font>
      <x:b/>
      <x:sz val="11"/>
      <x:color rgb="FF183B56"/>
      <x:name val="Carlito"/>
    </x:font>
    <x:font>
      <x:b/>
      <x:sz val="11"/>
      <x:name val="Carlito"/>
    </x:font>
    <x:font>
      <x:b/>
      <x:sz val="11"/>
      <x:color rgb="FF13795B"/>
      <x:name val="Carlito"/>
    </x:font>
    <x:font>
      <x:sz val="11"/>
      <x:color rgb="FF183B56"/>
      <x:name val="Carlito"/>
    </x:font>
    <x:font>
      <x:b/>
      <x:sz val="11"/>
      <x:color rgb="FFB4231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E8F5F2"/>
      </x:patternFill>
    </x:fill>
    <x:fill>
      <x:patternFill patternType="solid">
        <x:fgColor rgb="FFF4F7F9"/>
      </x:patternFill>
    </x:fill>
    <x:fill>
      <x:patternFill patternType="solid">
        <x:fgColor rgb="FFFFF4CC"/>
      </x:patternFill>
    </x:fill>
    <x:fill>
      <x:patternFill patternType="solid">
        <x:fgColor rgb="FF2A9D8F"/>
      </x:patternFill>
    </x:fill>
    <x:fill>
      <x:patternFill patternType="solid">
        <x:fgColor rgb="FFEAF2F8"/>
      </x:patternFill>
    </x:fill>
  </x:fills>
  <x:borders count="19">
    <x:border/>
    <x:border>
      <x:left style="thin">
        <x:color rgb="FFB8C7D1"/>
      </x:left>
      <x:top style="thin">
        <x:color rgb="FFB8C7D1"/>
      </x:top>
      <x:bottom style="thin">
        <x:color rgb="FFB8C7D1"/>
      </x:bottom>
    </x:border>
    <x:border>
      <x:top style="thin">
        <x:color rgb="FFB8C7D1"/>
      </x:top>
      <x:bottom style="thin">
        <x:color rgb="FFB8C7D1"/>
      </x:bottom>
    </x:border>
    <x:border>
      <x:right style="thin">
        <x:color rgb="FFB8C7D1"/>
      </x:right>
      <x:top style="thin">
        <x:color rgb="FFB8C7D1"/>
      </x:top>
      <x:bottom style="thin">
        <x:color rgb="FFB8C7D1"/>
      </x:bottom>
    </x:border>
    <x:border>
      <x:right style="thin">
        <x:color rgb="FFD9E2E8"/>
      </x:right>
    </x:border>
    <x:border>
      <x:left style="thin">
        <x:color rgb="FFD9E2E8"/>
      </x:left>
      <x:right style="thin">
        <x:color rgb="FFD9E2E8"/>
      </x:right>
    </x:border>
    <x:border>
      <x:left style="thin">
        <x:color rgb="FFD9E2E8"/>
      </x:left>
    </x:border>
    <x:border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bottom style="thin">
        <x:color rgb="FFD9E2E8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  <x:border>
      <x:right style="thin">
        <x:color rgb="FFD9E2E8"/>
      </x:right>
      <x:top style="thin">
        <x:color rgb="FFD9E2E8"/>
      </x:top>
    </x:border>
    <x:border>
      <x:left style="thin">
        <x:color rgb="FFD9E2E8"/>
      </x:left>
      <x:right style="thin">
        <x:color rgb="FFD9E2E8"/>
      </x:right>
      <x:top style="thin">
        <x:color rgb="FFD9E2E8"/>
      </x:top>
    </x:border>
    <x:border>
      <x:left style="thin">
        <x:color rgb="FFD9E2E8"/>
      </x:left>
      <x:top style="thin">
        <x:color rgb="FFD9E2E8"/>
      </x:top>
    </x:border>
    <x:border>
      <x:bottom style="thin">
        <x:color rgb="FFD9E2E8"/>
      </x:bottom>
    </x:border>
    <x:border>
      <x:top style="thin">
        <x:color rgb="FFD9E2E8"/>
      </x:top>
      <x:bottom style="thin">
        <x:color rgb="FFD9E2E8"/>
      </x:bottom>
    </x:border>
    <x:border>
      <x:top style="thin">
        <x:color rgb="FFD9E2E8"/>
      </x:top>
    </x:border>
  </x:borders>
  <x:cellStyleXfs count="1">
    <x:xf numFmtId="0" fontId="0" fillId="0" borderId="0"/>
  </x:cellStyleXfs>
  <x:cellXfs count="1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200" fontId="3" fillId="5" borderId="1" xfId="0" applyNumberFormat="1" applyFont="1" applyFill="1" applyBorder="1"/>
    <x:xf numFmtId="200" fontId="3" fillId="5" borderId="2" xfId="0" applyNumberFormat="1" applyFont="1" applyFill="1" applyBorder="1"/>
    <x:xf numFmtId="200" fontId="3" fillId="5" borderId="3" xfId="0" applyNumberFormat="1" applyFont="1" applyFill="1" applyBorder="1"/>
    <x:xf numFmtId="200" fontId="3" fillId="5" borderId="1" xfId="0" applyNumberFormat="1" applyFont="1" applyFill="1" applyBorder="1" applyAlignment="1">
      <x:alignment horizontal="center"/>
    </x:xf>
    <x:xf numFmtId="200" fontId="3" fillId="5" borderId="2" xfId="0" applyNumberFormat="1" applyFont="1" applyFill="1" applyBorder="1" applyAlignment="1">
      <x:alignment horizontal="center"/>
    </x:xf>
    <x:xf numFmtId="200" fontId="3" fillId="5" borderId="3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200" fontId="3" fillId="3" borderId="1" xfId="0" applyNumberFormat="1" applyFont="1" applyFill="1" applyBorder="1"/>
    <x:xf numFmtId="200" fontId="3" fillId="3" borderId="2" xfId="0" applyNumberFormat="1" applyFont="1" applyFill="1" applyBorder="1"/>
    <x:xf numFmtId="200" fontId="3" fillId="3" borderId="3" xfId="0" applyNumberFormat="1" applyFont="1" applyFill="1" applyBorder="1"/>
    <x:xf numFmtId="200" fontId="3" fillId="3" borderId="1" xfId="0" applyNumberFormat="1" applyFont="1" applyFill="1" applyBorder="1" applyAlignment="1">
      <x:alignment horizontal="center"/>
    </x:xf>
    <x:xf numFmtId="200" fontId="3" fillId="3" borderId="2" xfId="0" applyNumberFormat="1" applyFont="1" applyFill="1" applyBorder="1" applyAlignment="1">
      <x:alignment horizontal="center"/>
    </x:xf>
    <x:xf numFmtId="200" fontId="3" fillId="3" borderId="3" xfId="0" applyNumberFormat="1" applyFont="1" applyFill="1" applyBorder="1" applyAlignment="1">
      <x:alignment horizontal="center"/>
    </x:xf>
    <x:xf numFmtId="201" fontId="3" fillId="3" borderId="1" xfId="0" applyNumberFormat="1" applyFont="1" applyFill="1" applyBorder="1"/>
    <x:xf numFmtId="201" fontId="3" fillId="3" borderId="2" xfId="0" applyNumberFormat="1" applyFont="1" applyFill="1" applyBorder="1"/>
    <x:xf numFmtId="201" fontId="3" fillId="3" borderId="3" xfId="0" applyNumberFormat="1" applyFont="1" applyFill="1" applyBorder="1"/>
    <x:xf numFmtId="201" fontId="3" fillId="3" borderId="1" xfId="0" applyNumberFormat="1" applyFont="1" applyFill="1" applyBorder="1" applyAlignment="1">
      <x:alignment horizontal="center"/>
    </x:xf>
    <x:xf numFmtId="201" fontId="3" fillId="3" borderId="2" xfId="0" applyNumberFormat="1" applyFont="1" applyFill="1" applyBorder="1" applyAlignment="1">
      <x:alignment horizontal="center"/>
    </x:xf>
    <x:xf numFmtId="201" fontId="3" fillId="3" borderId="3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4" fillId="5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5" fillId="3" borderId="0" xfId="0" applyNumberFormat="1" applyFont="1" applyFill="1" applyBorder="1"/>
    <x:xf numFmtId="0" fontId="4" fillId="5" borderId="7" xfId="0" applyNumberFormat="1" applyFont="1" applyFill="1" applyBorder="1"/>
    <x:xf numFmtId="0" fontId="4" fillId="7" borderId="10" xfId="0" applyNumberFormat="1" applyFont="1" applyFill="1" applyBorder="1"/>
    <x:xf numFmtId="0" fontId="5" fillId="3" borderId="13" xfId="0" applyNumberFormat="1" applyFont="1" applyFill="1" applyBorder="1"/>
    <x:xf numFmtId="0" fontId="0" fillId="7" borderId="7" xfId="0" applyNumberFormat="1" applyFont="1" applyFill="1" applyBorder="1"/>
    <x:xf numFmtId="0" fontId="0" fillId="7" borderId="8" xfId="0" applyNumberFormat="1" applyFont="1" applyFill="1" applyBorder="1"/>
    <x:xf numFmtId="0" fontId="0" fillId="7" borderId="9" xfId="0" applyNumberFormat="1" applyFont="1" applyFill="1" applyBorder="1"/>
    <x:xf numFmtId="0" fontId="0" fillId="7" borderId="10" xfId="0" applyNumberFormat="1" applyFont="1" applyFill="1" applyBorder="1"/>
    <x:xf numFmtId="0" fontId="0" fillId="7" borderId="11" xfId="0" applyNumberFormat="1" applyFont="1" applyFill="1" applyBorder="1"/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200" fontId="0" fillId="7" borderId="8" xfId="0" applyNumberFormat="1" applyFont="1" applyFill="1" applyBorder="1"/>
    <x:xf numFmtId="200" fontId="0" fillId="7" borderId="11" xfId="0" applyNumberFormat="1" applyFont="1" applyFill="1" applyBorder="1"/>
    <x:xf numFmtId="200" fontId="0" fillId="7" borderId="14" xfId="0" applyNumberFormat="1" applyFont="1" applyFill="1" applyBorder="1"/>
    <x:xf numFmtId="201" fontId="0" fillId="7" borderId="8" xfId="0" applyNumberFormat="1" applyFont="1" applyFill="1" applyBorder="1"/>
    <x:xf numFmtId="201" fontId="0" fillId="7" borderId="11" xfId="0" applyNumberFormat="1" applyFont="1" applyFill="1" applyBorder="1"/>
    <x:xf numFmtId="201" fontId="0" fillId="7" borderId="14" xfId="0" applyNumberFormat="1" applyFont="1" applyFill="1" applyBorder="1"/>
    <x:xf numFmtId="200" fontId="0" fillId="3" borderId="8" xfId="0" applyNumberFormat="1" applyFont="1" applyFill="1" applyBorder="1"/>
    <x:xf numFmtId="200" fontId="0" fillId="3" borderId="11" xfId="0" applyNumberFormat="1" applyFont="1" applyFill="1" applyBorder="1"/>
    <x:xf numFmtId="200" fontId="0" fillId="3" borderId="14" xfId="0" applyNumberFormat="1" applyFont="1" applyFill="1" applyBorder="1"/>
    <x:xf numFmtId="200" fontId="5" fillId="3" borderId="8" xfId="0" applyNumberFormat="1" applyFont="1" applyFill="1" applyBorder="1"/>
    <x:xf numFmtId="200" fontId="5" fillId="3" borderId="11" xfId="0" applyNumberFormat="1" applyFont="1" applyFill="1" applyBorder="1"/>
    <x:xf numFmtId="200" fontId="5" fillId="3" borderId="14" xfId="0" applyNumberFormat="1" applyFont="1" applyFill="1" applyBorder="1"/>
    <x:xf numFmtId="0" fontId="6" fillId="7" borderId="9" xfId="0" applyNumberFormat="1" applyFont="1" applyFill="1" applyBorder="1"/>
    <x:xf numFmtId="0" fontId="6" fillId="7" borderId="12" xfId="0" applyNumberFormat="1" applyFont="1" applyFill="1" applyBorder="1"/>
    <x:xf numFmtId="0" fontId="6" fillId="7" borderId="15" xfId="0" applyNumberFormat="1" applyFont="1" applyFill="1" applyBorder="1"/>
    <x:xf numFmtId="0" fontId="6" fillId="7" borderId="9" xfId="0" applyNumberFormat="1" applyFont="1" applyFill="1" applyBorder="1" applyAlignment="1">
      <x:alignment wrapText="1"/>
    </x:xf>
    <x:xf numFmtId="0" fontId="6" fillId="7" borderId="12" xfId="0" applyNumberFormat="1" applyFont="1" applyFill="1" applyBorder="1" applyAlignment="1">
      <x:alignment wrapText="1"/>
    </x:xf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2" xfId="0" applyNumberFormat="1" applyFont="1" applyFill="1" applyBorder="1"/>
    <x:xf numFmtId="0" fontId="7" fillId="5" borderId="3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7" fillId="5" borderId="2" xfId="0" applyNumberFormat="1" applyFont="1" applyFill="1" applyBorder="1" applyAlignment="1">
      <x:alignment wrapText="1"/>
    </x:xf>
    <x:xf numFmtId="0" fontId="7" fillId="5" borderId="3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6" xfId="0" applyNumberFormat="1" applyFont="1" applyFill="1" applyBorder="1"/>
    <x:xf numFmtId="0" fontId="3" fillId="0" borderId="17" xfId="0" applyNumberFormat="1" applyFont="1" applyFill="1" applyBorder="1"/>
    <x:xf numFmtId="0" fontId="3" fillId="0" borderId="18" xfId="0" applyNumberFormat="1" applyFont="1" applyFill="1" applyBorder="1"/>
    <x:xf numFmtId="0" fontId="0" fillId="5" borderId="16" xfId="0" applyNumberFormat="1" applyFont="1" applyFill="1" applyBorder="1"/>
    <x:xf numFmtId="0" fontId="0" fillId="5" borderId="17" xfId="0" applyNumberFormat="1" applyFont="1" applyFill="1" applyBorder="1"/>
    <x:xf numFmtId="0" fontId="0" fillId="5" borderId="18" xfId="0" applyNumberFormat="1" applyFont="1" applyFill="1" applyBorder="1"/>
    <x:xf numFmtId="201" fontId="0" fillId="5" borderId="16" xfId="0" applyNumberFormat="1" applyFont="1" applyFill="1" applyBorder="1"/>
    <x:xf numFmtId="200" fontId="0" fillId="5" borderId="17" xfId="0" applyNumberFormat="1" applyFont="1" applyFill="1" applyBorder="1"/>
    <x:xf numFmtId="201" fontId="0" fillId="5" borderId="17" xfId="0" applyNumberFormat="1" applyFont="1" applyFill="1" applyBorder="1"/>
    <x:xf numFmtId="0" fontId="0" fillId="5" borderId="18" xfId="0" applyNumberFormat="1" applyFont="1" applyFill="1" applyBorder="1" applyAlignment="1">
      <x:alignment wrapText="1"/>
    </x:xf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5" borderId="15" xfId="0" applyNumberFormat="1" applyFont="1" applyFill="1" applyBorder="1"/>
    <x:xf numFmtId="200" fontId="0" fillId="5" borderId="8" xfId="0" applyNumberFormat="1" applyFont="1" applyFill="1" applyBorder="1"/>
    <x:xf numFmtId="200" fontId="0" fillId="5" borderId="9" xfId="0" applyNumberFormat="1" applyFont="1" applyFill="1" applyBorder="1"/>
    <x:xf numFmtId="200" fontId="0" fillId="5" borderId="11" xfId="0" applyNumberFormat="1" applyFont="1" applyFill="1" applyBorder="1"/>
    <x:xf numFmtId="200" fontId="0" fillId="5" borderId="12" xfId="0" applyNumberFormat="1" applyFont="1" applyFill="1" applyBorder="1"/>
    <x:xf numFmtId="200" fontId="0" fillId="5" borderId="14" xfId="0" applyNumberFormat="1" applyFont="1" applyFill="1" applyBorder="1"/>
    <x:xf numFmtId="200" fontId="0" fillId="5" borderId="15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2" xfId="0" applyNumberFormat="1" applyFont="1" applyFill="1" applyBorder="1"/>
    <x:xf numFmtId="0" fontId="6" fillId="7" borderId="3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2" xfId="0" applyNumberFormat="1" applyFont="1" applyFill="1" applyBorder="1" applyAlignment="1">
      <x:alignment wrapText="1"/>
    </x:xf>
    <x:xf numFmtId="0" fontId="6" fillId="7" borderId="3" xfId="0" applyNumberFormat="1" applyFont="1" applyFill="1" applyBorder="1" applyAlignment="1">
      <x:alignment wrapText="1"/>
    </x:xf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23537fb9d44a4f" /><Relationship Type="http://schemas.openxmlformats.org/officeDocument/2006/relationships/theme" Target="/xl/theme/theme1.xml" Id="Rf96bef83dfda4a23" /><Relationship Type="http://schemas.openxmlformats.org/officeDocument/2006/relationships/sharedStrings" Target="/xl/sharedStrings.xml" Id="R30b264d6bd4a4578" /><Relationship Type="http://schemas.openxmlformats.org/officeDocument/2006/relationships/worksheet" Target="/xl/worksheets/sheet1.xml" Id="R030d39bf83e94528" /><Relationship Type="http://schemas.openxmlformats.org/officeDocument/2006/relationships/worksheet" Target="/xl/worksheets/sheet2.xml" Id="R960ba4501f2042e3" /><Relationship Type="http://schemas.openxmlformats.org/officeDocument/2006/relationships/worksheet" Target="/xl/worksheets/sheet3.xml" Id="R8a7ca042986641ef" /><Relationship Type="http://schemas.openxmlformats.org/officeDocument/2006/relationships/worksheet" Target="/xl/worksheets/sheet4.xml" Id="R080d85c6c82c4f9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1c431cef9d9410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Plant COGS vs recommended price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Category</c:v>
          </c:tx>
          <c:cat>
            <c:strRef>
              <c:f>'Dashboard'!$A$10:$A$13</c:f>
              <c:strCache>
                <c:ptCount val="0"/>
              </c:strCache>
            </c:strRef>
          </c:cat>
          <c:val>
            <c:numRef>
              <c:f>'Dashboard'!$B$10:$B$13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Public plant cost</c:v>
          </c:tx>
          <c:cat>
            <c:strRef>
              <c:f>'Dashboard'!$A$10:$A$13</c:f>
              <c:strCache>
                <c:ptCount val="0"/>
              </c:strCache>
            </c:strRef>
          </c:cat>
          <c:val>
            <c:numRef>
              <c:f>'Dashboard'!$C$10:$C$13</c:f>
              <c:numCache>
                <c:formatCode>£#,##0.00</c:formatCode>
                <c:ptCount val="0"/>
              </c:numCache>
            </c:numRef>
          </c:val>
        </c:ser>
        <c:ser>
          <c:idx val="2"/>
          <c:order val="2"/>
          <c:tx>
            <c:v>Total COGS</c:v>
          </c:tx>
          <c:cat>
            <c:strRef>
              <c:f>'Dashboard'!$A$10:$A$13</c:f>
              <c:strCache>
                <c:ptCount val="0"/>
              </c:strCache>
            </c:strRef>
          </c:cat>
          <c:val>
            <c:numRef>
              <c:f>'Dashboard'!$D$10:$D$13</c:f>
              <c:numCache>
                <c:formatCode>£#,##0.00</c:formatCode>
                <c:ptCount val="0"/>
              </c:numCache>
            </c:numRef>
          </c:val>
        </c:ser>
        <c:ser>
          <c:idx val="3"/>
          <c:order val="3"/>
          <c:tx>
            <c:v>Recommended price</c:v>
          </c:tx>
          <c:cat>
            <c:strRef>
              <c:f>'Dashboard'!$A$10:$A$13</c:f>
              <c:strCache>
                <c:ptCount val="0"/>
              </c:strCache>
            </c:strRef>
          </c:cat>
          <c:val>
            <c:numRef>
              <c:f>'Dashboard'!$E$10:$E$13</c:f>
              <c:numCache>
                <c:formatCode>£#,##0.00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7</xdr:row>
      <xdr:rowOff>0</xdr:rowOff>
    </xdr:from>
    <xdr:to>
      <xdr:col>16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c431cef9d9410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7336e87c0d14c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1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30" customHeight="1">
      <x:c r="A1" s="3" t="str">
        <x:v>Luna Plants | Starter Range Costing &amp; Pricing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6" t="str">
        <x:v>Decision model using visible public prices as conservative plant-cost proxies; replace with approved trade prices when available.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4">
      <x:c r="A4" s="9" t="str">
        <x:v>Total unit COGS</x:v>
      </x:c>
      <x:c r="B4" s="9"/>
      <x:c r="C4" s="9"/>
      <x:c r="E4" s="9" t="str">
        <x:v>Recommended range revenue</x:v>
      </x:c>
      <x:c r="F4" s="9"/>
      <x:c r="G4" s="9"/>
      <x:c r="I4" s="9" t="str">
        <x:v>Blended gross margin</x:v>
      </x:c>
      <x:c r="J4" s="9"/>
      <x:c r="K4" s="9"/>
    </x:row>
    <x:row r="5">
      <x:c r="A5" s="18" t="n">
        <x:f>SUM('Costing'!$S$6:$S$9)</x:f>
        <x:v>109.8888</x:v>
      </x:c>
      <x:c r="B5" s="19"/>
      <x:c r="C5" s="20"/>
      <x:c r="E5" s="28" t="n">
        <x:f>SUM('Costing'!$V$6:$V$9)</x:f>
        <x:v>245.95999999999998</x:v>
      </x:c>
      <x:c r="F5" s="29"/>
      <x:c r="G5" s="30"/>
      <x:c r="I5" s="34" t="n">
        <x:f>1-(SUM('Costing'!$S$6:$S$9)/SUM('Costing'!$V$6:$V$9))</x:f>
        <x:v>0.5532249146202635</x:v>
      </x:c>
      <x:c r="J5" s="35"/>
      <x:c r="K5" s="36"/>
    </x:row>
    <x:row r="8">
      <x:c r="A8" s="39" t="str">
        <x:v>Starter products</x:v>
      </x:c>
      <x:c r="B8" s="39"/>
      <x:c r="C8" s="39"/>
      <x:c r="D8" s="39"/>
      <x:c r="E8" s="39"/>
      <x:c r="F8" s="39"/>
      <x:c r="G8" s="39"/>
    </x:row>
    <x:row r="9" ht="34" customHeight="1">
      <x:c r="A9" s="46" t="str">
        <x:v>Product</x:v>
      </x:c>
      <x:c r="B9" s="47" t="str">
        <x:v>Category</x:v>
      </x:c>
      <x:c r="C9" s="47" t="str">
        <x:v>Public plant cost</x:v>
      </x:c>
      <x:c r="D9" s="47" t="str">
        <x:v>Total COGS</x:v>
      </x:c>
      <x:c r="E9" s="47" t="str">
        <x:v>Recommended price</x:v>
      </x:c>
      <x:c r="F9" s="47" t="str">
        <x:v>Size</x:v>
      </x:c>
      <x:c r="G9" s="48" t="str">
        <x:v>Source</x:v>
      </x:c>
    </x:row>
    <x:row r="10">
      <x:c r="A10" s="58" t="str">
        <x:f>'Costing'!A6</x:f>
        <x:v>Snake Plant</x:v>
      </x:c>
      <x:c r="B10" s="59" t="str">
        <x:f>'Costing'!B6</x:f>
        <x:v>Low-light / easy-care</x:v>
      </x:c>
      <x:c r="C10" s="67" t="n">
        <x:f>'Costing'!F6</x:f>
        <x:v>10</x:v>
      </x:c>
      <x:c r="D10" s="67" t="n">
        <x:f>'Costing'!S6</x:f>
        <x:v>19.8114</x:v>
      </x:c>
      <x:c r="E10" s="67" t="n">
        <x:f>'Costing'!V6</x:f>
        <x:v>44.99</x:v>
      </x:c>
      <x:c r="F10" s="59" t="str">
        <x:f>'Costing'!D6</x:f>
        <x:v>35–45cm, 12cm nursery pot</x:v>
      </x:c>
      <x:c r="G10" s="60" t="str">
        <x:f>'Costing'!W6</x:f>
        <x:v>https://www.discountplantco.co.uk/products/plants-snake-plant</x:v>
      </x:c>
    </x:row>
    <x:row r="11">
      <x:c r="A11" s="61" t="str">
        <x:f>'Costing'!A7</x:f>
        <x:v>ZZ Plant</x:v>
      </x:c>
      <x:c r="B11" s="62" t="str">
        <x:f>'Costing'!B7</x:f>
        <x:v>Low-light / easy-care</x:v>
      </x:c>
      <x:c r="C11" s="68" t="n">
        <x:f>'Costing'!F7</x:f>
        <x:v>9</x:v>
      </x:c>
      <x:c r="D11" s="68" t="n">
        <x:f>'Costing'!S7</x:f>
        <x:v>18.7614</x:v>
      </x:c>
      <x:c r="E11" s="68" t="n">
        <x:f>'Costing'!V7</x:f>
        <x:v>41.99</x:v>
      </x:c>
      <x:c r="F11" s="62" t="str">
        <x:f>'Costing'!D7</x:f>
        <x:v>40–50cm, 12cm nursery pot</x:v>
      </x:c>
      <x:c r="G11" s="63" t="str">
        <x:f>'Costing'!W7</x:f>
        <x:v>https://www.discountplantco.co.uk/products/plants-zz-plant</x:v>
      </x:c>
    </x:row>
    <x:row r="12">
      <x:c r="A12" s="61" t="str">
        <x:f>'Costing'!A8</x:f>
        <x:v>Peace Lily</x:v>
      </x:c>
      <x:c r="B12" s="62" t="str">
        <x:f>'Costing'!B8</x:f>
        <x:v>Flowering / medium-light</x:v>
      </x:c>
      <x:c r="C12" s="68" t="n">
        <x:f>'Costing'!F8</x:f>
        <x:v>9</x:v>
      </x:c>
      <x:c r="D12" s="68" t="n">
        <x:f>'Costing'!S8</x:f>
        <x:v>21.8946</x:v>
      </x:c>
      <x:c r="E12" s="68" t="n">
        <x:f>'Costing'!V8</x:f>
        <x:v>48.99</x:v>
      </x:c>
      <x:c r="F12" s="62" t="str">
        <x:f>'Costing'!D8</x:f>
        <x:v>30–40cm, 13cm nursery pot</x:v>
      </x:c>
      <x:c r="G12" s="63" t="str">
        <x:f>'Costing'!W8</x:f>
        <x:v>https://www.discountplantco.co.uk/products/plants-peace-lily</x:v>
      </x:c>
    </x:row>
    <x:row r="13">
      <x:c r="A13" s="64" t="str">
        <x:f>'Costing'!A9</x:f>
        <x:v>Money Tree</x:v>
      </x:c>
      <x:c r="B13" s="65" t="str">
        <x:f>'Costing'!B9</x:f>
        <x:v>Statement / bright-indirect</x:v>
      </x:c>
      <x:c r="C13" s="69" t="n">
        <x:f>'Costing'!F9</x:f>
        <x:v>29.99</x:v>
      </x:c>
      <x:c r="D13" s="69" t="n">
        <x:f>'Costing'!S9</x:f>
        <x:v>49.4214</x:v>
      </x:c>
      <x:c r="E13" s="69" t="n">
        <x:f>'Costing'!V9</x:f>
        <x:v>109.99</x:v>
      </x:c>
      <x:c r="F13" s="65" t="str">
        <x:f>'Costing'!D9</x:f>
        <x:v>75–90cm, 17cm multi-stem</x:v>
      </x:c>
      <x:c r="G13" s="66" t="str">
        <x:f>'Costing'!W9</x:f>
        <x:v>https://www.plantsforallseasons.co.uk/products/pachira-aquatica-money-tree-house-plant</x:v>
      </x:c>
    </x:row>
    <x:row r="15">
      <x:c r="A15" s="70" t="str">
        <x:v>Action before launch: replace public-price proxies with approved trade prices, then confirm actual filament grams and print hours from the slicer.</x:v>
      </x:c>
      <x:c r="B15" s="71"/>
      <x:c r="C15" s="71"/>
      <x:c r="D15" s="71"/>
      <x:c r="E15" s="71"/>
      <x:c r="F15" s="71"/>
      <x:c r="G15" s="72"/>
    </x:row>
    <x:row r="18">
      <x:c r="A18" s="39" t="str">
        <x:v>Colour key</x:v>
      </x:c>
      <x:c r="B18" s="39"/>
      <x:c r="C18" s="39"/>
      <x:c r="D18" s="39"/>
      <x:c r="E18" s="39"/>
      <x:c r="F18" s="39"/>
      <x:c r="G18" s="39"/>
    </x:row>
    <x:row r="19">
      <x:c r="A19" s="77" t="str">
        <x:v>Yellow</x:v>
      </x:c>
      <x:c r="B19" s="51" t="str">
        <x:v>Editable assumption / input</x:v>
      </x:c>
    </x:row>
    <x:row r="20">
      <x:c r="A20" s="78" t="str">
        <x:v>Blue</x:v>
      </x:c>
      <x:c r="B20" s="54" t="str">
        <x:v>Formula-driven output</x:v>
      </x:c>
    </x:row>
    <x:row r="21">
      <x:c r="A21" s="79" t="str">
        <x:v>Green</x:v>
      </x:c>
      <x:c r="B21" s="57" t="str">
        <x:v>Recommended customer-facing price</x:v>
      </x:c>
    </x:row>
  </x:sheetData>
  <x:mergeCells>
    <x:mergeCell ref="A1:P1"/>
    <x:mergeCell ref="A2:P2"/>
    <x:mergeCell ref="A4:C4"/>
    <x:mergeCell ref="A5:C5"/>
    <x:mergeCell ref="E4:G4"/>
    <x:mergeCell ref="E5:G5"/>
    <x:mergeCell ref="I4:K4"/>
    <x:mergeCell ref="I5:K5"/>
    <x:mergeCell ref="A8:G8"/>
    <x:mergeCell ref="A15:G15"/>
    <x:mergeCell ref="A18:G18"/>
  </x:mergeCells>
  <x:pageMargins left="0.7" right="0.7" top="0.75" bottom="0.75" header="0.3" footer="0.3"/>
  <x:drawing xmlns:r="http://schemas.openxmlformats.org/officeDocument/2006/relationships" r:id="R37336e87c0d14cf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27" hidden="0" customWidth="1"/>
    <x:col min="4" max="4" width="24" hidden="0" customWidth="1"/>
    <x:col min="5" max="5" width="23" hidden="0" customWidth="1"/>
    <x:col min="6" max="6" width="15" hidden="0" customWidth="1"/>
    <x:col min="7" max="7" width="14" hidden="0" customWidth="1"/>
    <x:col min="8" max="8" width="11" hidden="0" customWidth="1"/>
    <x:col min="9" max="9" width="11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34" hidden="0" customWidth="1"/>
    <x:col min="23" max="23" width="13" hidden="0" customWidth="1"/>
    <x:col min="24" max="24" width="34" hidden="0" customWidth="1"/>
    <x:col min="25" max="25" width="11" hidden="0" customWidth="1"/>
  </x:cols>
  <x:sheetData>
    <x:row r="1" ht="30" customHeight="1">
      <x:c r="A1" s="3" t="str">
        <x:v>Luna Plants | Formula-Driven Unit Costing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</x:row>
    <x:row r="2">
      <x:c r="A2" s="6" t="str">
        <x:v>Edit the yellow inputs on Parts &amp; Assumptions. Blue cells calculate plant cost, 3D-pot parts, COGS, and recommended retail pricing.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</x:row>
    <x:row r="4">
      <x:c r="A4" s="39" t="str">
        <x:v>Public-price proxy range</x:v>
      </x:c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</x:row>
    <x:row r="5" ht="34" customHeight="1">
      <x:c r="A5" s="46" t="str">
        <x:v>Product</x:v>
      </x:c>
      <x:c r="B5" s="47" t="str">
        <x:v>Category</x:v>
      </x:c>
      <x:c r="C5" s="47" t="str">
        <x:v>Botanical name</x:v>
      </x:c>
      <x:c r="D5" s="47" t="str">
        <x:v>Public size / format</x:v>
      </x:c>
      <x:c r="E5" s="47" t="str">
        <x:v>Source</x:v>
      </x:c>
      <x:c r="F5" s="47" t="str">
        <x:v>Public plant price</x:v>
      </x:c>
      <x:c r="G5" s="47" t="str">
        <x:v>Pot size class</x:v>
      </x:c>
      <x:c r="H5" s="47" t="str">
        <x:v>Filament g</x:v>
      </x:c>
      <x:c r="I5" s="47" t="str">
        <x:v>Print hours</x:v>
      </x:c>
      <x:c r="J5" s="47" t="str">
        <x:v>Filament cost</x:v>
      </x:c>
      <x:c r="K5" s="47" t="str">
        <x:v>Electricity</x:v>
      </x:c>
      <x:c r="L5" s="47" t="str">
        <x:v>Labour</x:v>
      </x:c>
      <x:c r="M5" s="47" t="str">
        <x:v>Soil/media</x:v>
      </x:c>
      <x:c r="N5" s="47" t="str">
        <x:v>Packaging</x:v>
      </x:c>
      <x:c r="O5" s="47" t="str">
        <x:v>Label/passport</x:v>
      </x:c>
      <x:c r="P5" s="47" t="str">
        <x:v>Inbound delivery</x:v>
      </x:c>
      <x:c r="Q5" s="47" t="str">
        <x:v>COGS before waste</x:v>
      </x:c>
      <x:c r="R5" s="47" t="str">
        <x:v>Waste allowance</x:v>
      </x:c>
      <x:c r="S5" s="47" t="str">
        <x:v>Total COGS</x:v>
      </x:c>
      <x:c r="T5" s="47" t="str">
        <x:v>Target margin</x:v>
      </x:c>
      <x:c r="U5" s="47" t="str">
        <x:v>Raw price</x:v>
      </x:c>
      <x:c r="V5" s="47" t="str">
        <x:v>Recommended price</x:v>
      </x:c>
      <x:c r="W5" s="47" t="str">
        <x:v>Source URL</x:v>
      </x:c>
      <x:c r="X5" s="47" t="str">
        <x:v>Notes</x:v>
      </x:c>
      <x:c r="Y5" s="48" t="str">
        <x:v>Status</x:v>
      </x:c>
    </x:row>
    <x:row r="6">
      <x:c r="A6" s="58" t="str">
        <x:v>Snake Plant</x:v>
      </x:c>
      <x:c r="B6" s="59" t="str">
        <x:v>Low-light / easy-care</x:v>
      </x:c>
      <x:c r="C6" s="59" t="str">
        <x:v>Sansevieria trifasciata 'Laurentii'</x:v>
      </x:c>
      <x:c r="D6" s="59" t="str">
        <x:v>35–45cm, 12cm nursery pot</x:v>
      </x:c>
      <x:c r="E6" s="59" t="str">
        <x:v>The Discount Plant Company</x:v>
      </x:c>
      <x:c r="F6" s="67" t="n">
        <x:v>10</x:v>
      </x:c>
      <x:c r="G6" s="60" t="str">
        <x:v>Small</x:v>
      </x:c>
      <x:c r="H6" s="80" t="n">
        <x:f>IF($G6="Small",'Parts &amp; Assumptions'!$B$19,IF($G6="Medium",'Parts &amp; Assumptions'!$B$20,'Parts &amp; Assumptions'!$B$21))</x:f>
        <x:v>150</x:v>
      </x:c>
      <x:c r="I6" s="81" t="n">
        <x:f>IF($G6="Small",'Parts &amp; Assumptions'!$C$19,IF($G6="Medium",'Parts &amp; Assumptions'!$C$20,'Parts &amp; Assumptions'!$C$21))</x:f>
        <x:v>4</x:v>
      </x:c>
      <x:c r="J6" s="89" t="n">
        <x:f>H6/1000*'Parts &amp; Assumptions'!$B$6</x:f>
        <x:v>3</x:v>
      </x:c>
      <x:c r="K6" s="89" t="n">
        <x:f>I6*'Parts &amp; Assumptions'!$B$7*'Parts &amp; Assumptions'!$B$8</x:f>
        <x:v>0.168</x:v>
      </x:c>
      <x:c r="L6" s="89" t="n">
        <x:f>IF($G6="Small",'Parts &amp; Assumptions'!$D$19,IF($G6="Medium",'Parts &amp; Assumptions'!$D$20,'Parts &amp; Assumptions'!$D$21))/60*'Parts &amp; Assumptions'!$B$9</x:f>
        <x:v>2</x:v>
      </x:c>
      <x:c r="M6" s="89" t="n">
        <x:f>IF($G6="Small",'Parts &amp; Assumptions'!$E$19,IF($G6="Medium",'Parts &amp; Assumptions'!$E$20,'Parts &amp; Assumptions'!$E$21))</x:f>
        <x:v>0.5</x:v>
      </x:c>
      <x:c r="N6" s="89" t="n">
        <x:f>IF($G6="Small",'Parts &amp; Assumptions'!$F$19,IF($G6="Medium",'Parts &amp; Assumptions'!$F$20,'Parts &amp; Assumptions'!$F$21))</x:f>
        <x:v>1.25</x:v>
      </x:c>
      <x:c r="O6" s="89" t="n">
        <x:f>'Parts &amp; Assumptions'!$B$10</x:f>
        <x:v>0.2</x:v>
      </x:c>
      <x:c r="P6" s="89" t="n">
        <x:f>IF($G6="Small",'Parts &amp; Assumptions'!$G$19,IF($G6="Medium",'Parts &amp; Assumptions'!$G$20,'Parts &amp; Assumptions'!$G$21))</x:f>
        <x:v>1.75</x:v>
      </x:c>
      <x:c r="Q6" s="89" t="n">
        <x:f>F6+J6+K6+L6+M6+N6+O6+P6</x:f>
        <x:v>18.868</x:v>
      </x:c>
      <x:c r="R6" s="89" t="n">
        <x:f>Q6*'Parts &amp; Assumptions'!$B$11</x:f>
        <x:v>0.9434</x:v>
      </x:c>
      <x:c r="S6" s="89" t="n">
        <x:f>Q6+R6</x:f>
        <x:v>19.8114</x:v>
      </x:c>
      <x:c r="T6" s="92" t="n">
        <x:f>'Parts &amp; Assumptions'!$B$5</x:f>
        <x:v>0.55</x:v>
      </x:c>
      <x:c r="U6" s="89" t="n">
        <x:f>S6/(1-T6)</x:f>
        <x:v>44.025333333333336</x:v>
      </x:c>
      <x:c r="V6" s="98" t="n">
        <x:f>ROUNDUP(U6,0)-0.01</x:f>
        <x:v>44.99</x:v>
      </x:c>
      <x:c r="W6" s="104" t="str">
        <x:v>https://www.discountplantco.co.uk/products/plants-snake-plant</x:v>
      </x:c>
      <x:c r="X6" s="58" t="str">
        <x:v>Public price includes taxes; proxy only until trade price confirmed.</x:v>
      </x:c>
      <x:c r="Y6" s="60" t="str">
        <x:v>Selected</x:v>
      </x:c>
    </x:row>
    <x:row r="7">
      <x:c r="A7" s="61" t="str">
        <x:v>ZZ Plant</x:v>
      </x:c>
      <x:c r="B7" s="62" t="str">
        <x:v>Low-light / easy-care</x:v>
      </x:c>
      <x:c r="C7" s="62" t="str">
        <x:v>Zamioculcas zamiifolia</x:v>
      </x:c>
      <x:c r="D7" s="62" t="str">
        <x:v>40–50cm, 12cm nursery pot</x:v>
      </x:c>
      <x:c r="E7" s="62" t="str">
        <x:v>The Discount Plant Company</x:v>
      </x:c>
      <x:c r="F7" s="68" t="n">
        <x:v>9</x:v>
      </x:c>
      <x:c r="G7" s="63" t="str">
        <x:v>Small</x:v>
      </x:c>
      <x:c r="H7" s="83" t="n">
        <x:f>IF($G7="Small",'Parts &amp; Assumptions'!$B$19,IF($G7="Medium",'Parts &amp; Assumptions'!$B$20,'Parts &amp; Assumptions'!$B$21))</x:f>
        <x:v>150</x:v>
      </x:c>
      <x:c r="I7" s="84" t="n">
        <x:f>IF($G7="Small",'Parts &amp; Assumptions'!$C$19,IF($G7="Medium",'Parts &amp; Assumptions'!$C$20,'Parts &amp; Assumptions'!$C$21))</x:f>
        <x:v>4</x:v>
      </x:c>
      <x:c r="J7" s="90" t="n">
        <x:f>H7/1000*'Parts &amp; Assumptions'!$B$6</x:f>
        <x:v>3</x:v>
      </x:c>
      <x:c r="K7" s="90" t="n">
        <x:f>I7*'Parts &amp; Assumptions'!$B$7*'Parts &amp; Assumptions'!$B$8</x:f>
        <x:v>0.168</x:v>
      </x:c>
      <x:c r="L7" s="90" t="n">
        <x:f>IF($G7="Small",'Parts &amp; Assumptions'!$D$19,IF($G7="Medium",'Parts &amp; Assumptions'!$D$20,'Parts &amp; Assumptions'!$D$21))/60*'Parts &amp; Assumptions'!$B$9</x:f>
        <x:v>2</x:v>
      </x:c>
      <x:c r="M7" s="90" t="n">
        <x:f>IF($G7="Small",'Parts &amp; Assumptions'!$E$19,IF($G7="Medium",'Parts &amp; Assumptions'!$E$20,'Parts &amp; Assumptions'!$E$21))</x:f>
        <x:v>0.5</x:v>
      </x:c>
      <x:c r="N7" s="90" t="n">
        <x:f>IF($G7="Small",'Parts &amp; Assumptions'!$F$19,IF($G7="Medium",'Parts &amp; Assumptions'!$F$20,'Parts &amp; Assumptions'!$F$21))</x:f>
        <x:v>1.25</x:v>
      </x:c>
      <x:c r="O7" s="90" t="n">
        <x:f>'Parts &amp; Assumptions'!$B$10</x:f>
        <x:v>0.2</x:v>
      </x:c>
      <x:c r="P7" s="90" t="n">
        <x:f>IF($G7="Small",'Parts &amp; Assumptions'!$G$19,IF($G7="Medium",'Parts &amp; Assumptions'!$G$20,'Parts &amp; Assumptions'!$G$21))</x:f>
        <x:v>1.75</x:v>
      </x:c>
      <x:c r="Q7" s="90" t="n">
        <x:f>F7+J7+K7+L7+M7+N7+O7+P7</x:f>
        <x:v>17.868</x:v>
      </x:c>
      <x:c r="R7" s="90" t="n">
        <x:f>Q7*'Parts &amp; Assumptions'!$B$11</x:f>
        <x:v>0.8934</x:v>
      </x:c>
      <x:c r="S7" s="90" t="n">
        <x:f>Q7+R7</x:f>
        <x:v>18.7614</x:v>
      </x:c>
      <x:c r="T7" s="93" t="n">
        <x:f>'Parts &amp; Assumptions'!$B$5</x:f>
        <x:v>0.55</x:v>
      </x:c>
      <x:c r="U7" s="90" t="n">
        <x:f>S7/(1-T7)</x:f>
        <x:v>41.692</x:v>
      </x:c>
      <x:c r="V7" s="99" t="n">
        <x:f>ROUNDUP(U7,0)-0.01</x:f>
        <x:v>41.99</x:v>
      </x:c>
      <x:c r="W7" s="105" t="str">
        <x:v>https://www.discountplantco.co.uk/products/plants-zz-plant</x:v>
      </x:c>
      <x:c r="X7" s="61" t="str">
        <x:v>Public price includes taxes; proxy only until trade price confirmed.</x:v>
      </x:c>
      <x:c r="Y7" s="63" t="str">
        <x:v>Selected</x:v>
      </x:c>
    </x:row>
    <x:row r="8">
      <x:c r="A8" s="61" t="str">
        <x:v>Peace Lily</x:v>
      </x:c>
      <x:c r="B8" s="62" t="str">
        <x:v>Flowering / medium-light</x:v>
      </x:c>
      <x:c r="C8" s="62" t="str">
        <x:v>Spathiphyllum wallisii</x:v>
      </x:c>
      <x:c r="D8" s="62" t="str">
        <x:v>30–40cm, 13cm nursery pot</x:v>
      </x:c>
      <x:c r="E8" s="62" t="str">
        <x:v>The Discount Plant Company</x:v>
      </x:c>
      <x:c r="F8" s="68" t="n">
        <x:v>9</x:v>
      </x:c>
      <x:c r="G8" s="63" t="str">
        <x:v>Medium</x:v>
      </x:c>
      <x:c r="H8" s="83" t="n">
        <x:f>IF($G8="Small",'Parts &amp; Assumptions'!$B$19,IF($G8="Medium",'Parts &amp; Assumptions'!$B$20,'Parts &amp; Assumptions'!$B$21))</x:f>
        <x:v>220</x:v>
      </x:c>
      <x:c r="I8" s="84" t="n">
        <x:f>IF($G8="Small",'Parts &amp; Assumptions'!$C$19,IF($G8="Medium",'Parts &amp; Assumptions'!$C$20,'Parts &amp; Assumptions'!$C$21))</x:f>
        <x:v>6</x:v>
      </x:c>
      <x:c r="J8" s="90" t="n">
        <x:f>H8/1000*'Parts &amp; Assumptions'!$B$6</x:f>
        <x:v>4.4</x:v>
      </x:c>
      <x:c r="K8" s="90" t="n">
        <x:f>I8*'Parts &amp; Assumptions'!$B$7*'Parts &amp; Assumptions'!$B$8</x:f>
        <x:v>0.252</x:v>
      </x:c>
      <x:c r="L8" s="90" t="n">
        <x:f>IF($G8="Small",'Parts &amp; Assumptions'!$D$19,IF($G8="Medium",'Parts &amp; Assumptions'!$D$20,'Parts &amp; Assumptions'!$D$21))/60*'Parts &amp; Assumptions'!$B$9</x:f>
        <x:v>3</x:v>
      </x:c>
      <x:c r="M8" s="90" t="n">
        <x:f>IF($G8="Small",'Parts &amp; Assumptions'!$E$19,IF($G8="Medium",'Parts &amp; Assumptions'!$E$20,'Parts &amp; Assumptions'!$E$21))</x:f>
        <x:v>0.75</x:v>
      </x:c>
      <x:c r="N8" s="90" t="n">
        <x:f>IF($G8="Small",'Parts &amp; Assumptions'!$F$19,IF($G8="Medium",'Parts &amp; Assumptions'!$F$20,'Parts &amp; Assumptions'!$F$21))</x:f>
        <x:v>1.5</x:v>
      </x:c>
      <x:c r="O8" s="90" t="n">
        <x:f>'Parts &amp; Assumptions'!$B$10</x:f>
        <x:v>0.2</x:v>
      </x:c>
      <x:c r="P8" s="90" t="n">
        <x:f>IF($G8="Small",'Parts &amp; Assumptions'!$G$19,IF($G8="Medium",'Parts &amp; Assumptions'!$G$20,'Parts &amp; Assumptions'!$G$21))</x:f>
        <x:v>1.75</x:v>
      </x:c>
      <x:c r="Q8" s="90" t="n">
        <x:f>F8+J8+K8+L8+M8+N8+O8+P8</x:f>
        <x:v>20.852</x:v>
      </x:c>
      <x:c r="R8" s="90" t="n">
        <x:f>Q8*'Parts &amp; Assumptions'!$B$11</x:f>
        <x:v>1.0426</x:v>
      </x:c>
      <x:c r="S8" s="90" t="n">
        <x:f>Q8+R8</x:f>
        <x:v>21.8946</x:v>
      </x:c>
      <x:c r="T8" s="93" t="n">
        <x:f>'Parts &amp; Assumptions'!$B$5</x:f>
        <x:v>0.55</x:v>
      </x:c>
      <x:c r="U8" s="90" t="n">
        <x:f>S8/(1-T8)</x:f>
        <x:v>48.65466666666667</x:v>
      </x:c>
      <x:c r="V8" s="99" t="n">
        <x:f>ROUNDUP(U8,0)-0.01</x:f>
        <x:v>48.99</x:v>
      </x:c>
      <x:c r="W8" s="105" t="str">
        <x:v>https://www.discountplantco.co.uk/products/plants-peace-lily</x:v>
      </x:c>
      <x:c r="X8" s="61" t="str">
        <x:v>Public price includes taxes; proxy only until trade price confirmed.</x:v>
      </x:c>
      <x:c r="Y8" s="63" t="str">
        <x:v>Selected</x:v>
      </x:c>
    </x:row>
    <x:row r="9">
      <x:c r="A9" s="64" t="str">
        <x:v>Money Tree</x:v>
      </x:c>
      <x:c r="B9" s="65" t="str">
        <x:v>Statement / bright-indirect</x:v>
      </x:c>
      <x:c r="C9" s="65" t="str">
        <x:v>Pachira aquatica</x:v>
      </x:c>
      <x:c r="D9" s="65" t="str">
        <x:v>75–90cm, 17cm multi-stem</x:v>
      </x:c>
      <x:c r="E9" s="65" t="str">
        <x:v>Plants For All Seasons</x:v>
      </x:c>
      <x:c r="F9" s="69" t="n">
        <x:v>29.99</x:v>
      </x:c>
      <x:c r="G9" s="66" t="str">
        <x:v>Large</x:v>
      </x:c>
      <x:c r="H9" s="86" t="n">
        <x:f>IF($G9="Small",'Parts &amp; Assumptions'!$B$19,IF($G9="Medium",'Parts &amp; Assumptions'!$B$20,'Parts &amp; Assumptions'!$B$21))</x:f>
        <x:v>350</x:v>
      </x:c>
      <x:c r="I9" s="87" t="n">
        <x:f>IF($G9="Small",'Parts &amp; Assumptions'!$C$19,IF($G9="Medium",'Parts &amp; Assumptions'!$C$20,'Parts &amp; Assumptions'!$C$21))</x:f>
        <x:v>9</x:v>
      </x:c>
      <x:c r="J9" s="91" t="n">
        <x:f>H9/1000*'Parts &amp; Assumptions'!$B$6</x:f>
        <x:v>7</x:v>
      </x:c>
      <x:c r="K9" s="91" t="n">
        <x:f>I9*'Parts &amp; Assumptions'!$B$7*'Parts &amp; Assumptions'!$B$8</x:f>
        <x:v>0.37800000000000006</x:v>
      </x:c>
      <x:c r="L9" s="91" t="n">
        <x:f>IF($G9="Small",'Parts &amp; Assumptions'!$D$19,IF($G9="Medium",'Parts &amp; Assumptions'!$D$20,'Parts &amp; Assumptions'!$D$21))/60*'Parts &amp; Assumptions'!$B$9</x:f>
        <x:v>4</x:v>
      </x:c>
      <x:c r="M9" s="91" t="n">
        <x:f>IF($G9="Small",'Parts &amp; Assumptions'!$E$19,IF($G9="Medium",'Parts &amp; Assumptions'!$E$20,'Parts &amp; Assumptions'!$E$21))</x:f>
        <x:v>1</x:v>
      </x:c>
      <x:c r="N9" s="91" t="n">
        <x:f>IF($G9="Small",'Parts &amp; Assumptions'!$F$19,IF($G9="Medium",'Parts &amp; Assumptions'!$F$20,'Parts &amp; Assumptions'!$F$21))</x:f>
        <x:v>2</x:v>
      </x:c>
      <x:c r="O9" s="91" t="n">
        <x:f>'Parts &amp; Assumptions'!$B$10</x:f>
        <x:v>0.2</x:v>
      </x:c>
      <x:c r="P9" s="91" t="n">
        <x:f>IF($G9="Small",'Parts &amp; Assumptions'!$G$19,IF($G9="Medium",'Parts &amp; Assumptions'!$G$20,'Parts &amp; Assumptions'!$G$21))</x:f>
        <x:v>2.5</x:v>
      </x:c>
      <x:c r="Q9" s="91" t="n">
        <x:f>F9+J9+K9+L9+M9+N9+O9+P9</x:f>
        <x:v>47.068</x:v>
      </x:c>
      <x:c r="R9" s="91" t="n">
        <x:f>Q9*'Parts &amp; Assumptions'!$B$11</x:f>
        <x:v>2.3534</x:v>
      </x:c>
      <x:c r="S9" s="91" t="n">
        <x:f>Q9+R9</x:f>
        <x:v>49.4214</x:v>
      </x:c>
      <x:c r="T9" s="94" t="n">
        <x:f>'Parts &amp; Assumptions'!$B$5</x:f>
        <x:v>0.55</x:v>
      </x:c>
      <x:c r="U9" s="91" t="n">
        <x:f>S9/(1-T9)</x:f>
        <x:v>109.82533333333335</x:v>
      </x:c>
      <x:c r="V9" s="99" t="n">
        <x:f>ROUNDUP(U9,0)-0.01</x:f>
        <x:v>109.99</x:v>
      </x:c>
      <x:c r="W9" s="105" t="str">
        <x:v>https://www.plantsforallseasons.co.uk/products/pachira-aquatica-money-tree-house-plant</x:v>
      </x:c>
      <x:c r="X9" s="64" t="str">
        <x:v>Public listed price; proxy only until trade price confirmed.</x:v>
      </x:c>
      <x:c r="Y9" s="66" t="str">
        <x:v>Selected</x:v>
      </x:c>
    </x:row>
    <x:row r="11">
      <x:c r="A11" s="110" t="str">
        <x:v>Important: public prices are not verified trade COGS. Use them as a conservative ceiling until a wholesaler approves the account and gives a like-for-like plant size and delivered price.</x:v>
      </x:c>
      <x:c r="B11" s="111"/>
      <x:c r="C11" s="111"/>
      <x:c r="D11" s="111"/>
      <x:c r="E11" s="111"/>
      <x:c r="F11" s="111"/>
      <x:c r="G11" s="111"/>
      <x:c r="H11" s="111"/>
      <x:c r="I11" s="111"/>
      <x:c r="J11" s="111"/>
      <x:c r="K11" s="111"/>
      <x:c r="L11" s="111"/>
      <x:c r="M11" s="111"/>
      <x:c r="N11" s="111"/>
      <x:c r="O11" s="111"/>
      <x:c r="P11" s="111"/>
      <x:c r="Q11" s="111"/>
      <x:c r="R11" s="111"/>
      <x:c r="S11" s="111"/>
      <x:c r="T11" s="111"/>
      <x:c r="U11" s="111"/>
      <x:c r="V11" s="111"/>
      <x:c r="W11" s="111"/>
      <x:c r="X11" s="111"/>
      <x:c r="Y11" s="112"/>
    </x:row>
  </x:sheetData>
  <x:mergeCells>
    <x:mergeCell ref="A1:Y1"/>
    <x:mergeCell ref="A2:Y2"/>
    <x:mergeCell ref="A4:Y4"/>
    <x:mergeCell ref="A11:Y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0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customHeight="1">
      <x:c r="A1" s="3" t="str">
        <x:v>Luna Plants | Parts, Printing &amp; Pricing Assumptions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Yellow cells are editable. Starter values are placeholders until actual pot prints and supplier delivery costs are measured.</x:v>
      </x:c>
      <x:c r="B2" s="6"/>
      <x:c r="C2" s="6"/>
      <x:c r="D2" s="6"/>
      <x:c r="E2" s="6"/>
      <x:c r="F2" s="6"/>
      <x:c r="G2" s="6"/>
      <x:c r="H2" s="6"/>
    </x:row>
    <x:row r="4">
      <x:c r="A4" s="39" t="str">
        <x:v>Global assumptions</x:v>
      </x:c>
      <x:c r="B4" s="39"/>
    </x:row>
    <x:row r="5">
      <x:c r="A5" s="114" t="str">
        <x:v>Target gross margin</x:v>
      </x:c>
      <x:c r="B5" s="120" t="n">
        <x:v>0.55</x:v>
      </x:c>
    </x:row>
    <x:row r="6">
      <x:c r="A6" s="115" t="str">
        <x:v>Filament cost (£/kg)</x:v>
      </x:c>
      <x:c r="B6" s="121" t="n">
        <x:v>20</x:v>
      </x:c>
    </x:row>
    <x:row r="7">
      <x:c r="A7" s="115" t="str">
        <x:v>Electricity price (£/kWh)</x:v>
      </x:c>
      <x:c r="B7" s="121" t="n">
        <x:v>0.28</x:v>
      </x:c>
    </x:row>
    <x:row r="8">
      <x:c r="A8" s="115" t="str">
        <x:v>Printer power draw (kW)</x:v>
      </x:c>
      <x:c r="B8" s="118" t="n">
        <x:v>0.15</x:v>
      </x:c>
    </x:row>
    <x:row r="9">
      <x:c r="A9" s="115" t="str">
        <x:v>Assembly/labour rate (£/hr)</x:v>
      </x:c>
      <x:c r="B9" s="121" t="n">
        <x:v>12</x:v>
      </x:c>
    </x:row>
    <x:row r="10">
      <x:c r="A10" s="115" t="str">
        <x:v>Label/passport allowance (£/unit)</x:v>
      </x:c>
      <x:c r="B10" s="121" t="n">
        <x:v>0.2</x:v>
      </x:c>
    </x:row>
    <x:row r="11">
      <x:c r="A11" s="115" t="str">
        <x:v>Wastage allowance</x:v>
      </x:c>
      <x:c r="B11" s="122" t="n">
        <x:v>0.05</x:v>
      </x:c>
    </x:row>
    <x:row r="12">
      <x:c r="A12" s="116" t="str">
        <x:v>Model note</x:v>
      </x:c>
      <x:c r="B12" s="123" t="str">
        <x:v>Public plant prices are displayed prices, not approved wholesale COGS.</x:v>
      </x:c>
    </x:row>
    <x:row r="17">
      <x:c r="A17" s="39" t="str">
        <x:v>Pot size assumptions</x:v>
      </x:c>
      <x:c r="B17" s="39"/>
      <x:c r="C17" s="39"/>
      <x:c r="D17" s="39"/>
      <x:c r="E17" s="39"/>
      <x:c r="F17" s="39"/>
      <x:c r="G17" s="39"/>
    </x:row>
    <x:row r="18" ht="34" customHeight="1">
      <x:c r="A18" s="46" t="str">
        <x:v>Size class</x:v>
      </x:c>
      <x:c r="B18" s="47" t="str">
        <x:v>Filament grams</x:v>
      </x:c>
      <x:c r="C18" s="47" t="str">
        <x:v>Print hours</x:v>
      </x:c>
      <x:c r="D18" s="47" t="str">
        <x:v>Assembly minutes</x:v>
      </x:c>
      <x:c r="E18" s="47" t="str">
        <x:v>Soil/media (£)</x:v>
      </x:c>
      <x:c r="F18" s="47" t="str">
        <x:v>Packaging (£)</x:v>
      </x:c>
      <x:c r="G18" s="48" t="str">
        <x:v>Inbound delivery (£)</x:v>
      </x:c>
    </x:row>
    <x:row r="19">
      <x:c r="A19" s="124" t="str">
        <x:v>Small</x:v>
      </x:c>
      <x:c r="B19" s="125" t="n">
        <x:v>150</x:v>
      </x:c>
      <x:c r="C19" s="125" t="n">
        <x:v>4</x:v>
      </x:c>
      <x:c r="D19" s="125" t="n">
        <x:v>10</x:v>
      </x:c>
      <x:c r="E19" s="133" t="n">
        <x:v>0.5</x:v>
      </x:c>
      <x:c r="F19" s="133" t="n">
        <x:v>1.25</x:v>
      </x:c>
      <x:c r="G19" s="134" t="n">
        <x:v>1.75</x:v>
      </x:c>
    </x:row>
    <x:row r="20">
      <x:c r="A20" s="127" t="str">
        <x:v>Medium</x:v>
      </x:c>
      <x:c r="B20" s="128" t="n">
        <x:v>220</x:v>
      </x:c>
      <x:c r="C20" s="128" t="n">
        <x:v>6</x:v>
      </x:c>
      <x:c r="D20" s="128" t="n">
        <x:v>15</x:v>
      </x:c>
      <x:c r="E20" s="135" t="n">
        <x:v>0.75</x:v>
      </x:c>
      <x:c r="F20" s="135" t="n">
        <x:v>1.5</x:v>
      </x:c>
      <x:c r="G20" s="136" t="n">
        <x:v>1.75</x:v>
      </x:c>
    </x:row>
    <x:row r="21">
      <x:c r="A21" s="130" t="str">
        <x:v>Large</x:v>
      </x:c>
      <x:c r="B21" s="131" t="n">
        <x:v>350</x:v>
      </x:c>
      <x:c r="C21" s="131" t="n">
        <x:v>9</x:v>
      </x:c>
      <x:c r="D21" s="131" t="n">
        <x:v>20</x:v>
      </x:c>
      <x:c r="E21" s="137" t="n">
        <x:v>1</x:v>
      </x:c>
      <x:c r="F21" s="137" t="n">
        <x:v>2</x:v>
      </x:c>
      <x:c r="G21" s="138" t="n">
        <x:v>2.5</x:v>
      </x:c>
    </x:row>
    <x:row r="23">
      <x:c r="A23" s="143" t="str">
        <x:v>Suggested measuring workflow: slice one representative pot per size, record grams and print hours, then replace the yellow assumptions above. Add actual payment fees and any soil/drainage components once known.</x:v>
      </x:c>
      <x:c r="B23" s="144"/>
      <x:c r="C23" s="144"/>
      <x:c r="D23" s="144"/>
      <x:c r="E23" s="144"/>
      <x:c r="F23" s="144"/>
      <x:c r="G23" s="144"/>
      <x:c r="H23" s="145"/>
    </x:row>
  </x:sheetData>
  <x:mergeCells>
    <x:mergeCell ref="A1:H1"/>
    <x:mergeCell ref="A2:H2"/>
    <x:mergeCell ref="A4:B4"/>
    <x:mergeCell ref="A17:G17"/>
    <x:mergeCell ref="A23:H2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8" hidden="0" customWidth="1"/>
    <x:col min="4" max="4" width="15" hidden="0" customWidth="1"/>
    <x:col min="5" max="5" width="26" hidden="0" customWidth="1"/>
    <x:col min="6" max="6" width="18" hidden="0" customWidth="1"/>
    <x:col min="7" max="7" width="48" hidden="0" customWidth="1"/>
    <x:col min="8" max="8" width="25" hidden="0" customWidth="1"/>
  </x:cols>
  <x:sheetData>
    <x:row r="1" ht="30" customHeight="1">
      <x:c r="A1" s="3" t="str">
        <x:v>Luna Plants | Public Price Sources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Prices captured from publicly visible pages on 2026-08-16. They are conservative proxies until a wholesale account provides confirmed trade pricing.</x:v>
      </x:c>
      <x:c r="B2" s="6"/>
      <x:c r="C2" s="6"/>
      <x:c r="D2" s="6"/>
      <x:c r="E2" s="6"/>
      <x:c r="F2" s="6"/>
      <x:c r="G2" s="6"/>
      <x:c r="H2" s="6"/>
    </x:row>
    <x:row r="4" ht="34" customHeight="1">
      <x:c r="A4" s="46" t="str">
        <x:v>Plant</x:v>
      </x:c>
      <x:c r="B4" s="47" t="str">
        <x:v>Supplier/site</x:v>
      </x:c>
      <x:c r="C4" s="47" t="str">
        <x:v>Botanical name</x:v>
      </x:c>
      <x:c r="D4" s="47" t="str">
        <x:v>Public price</x:v>
      </x:c>
      <x:c r="E4" s="47" t="str">
        <x:v>Displayed size</x:v>
      </x:c>
      <x:c r="F4" s="47" t="str">
        <x:v>Price basis</x:v>
      </x:c>
      <x:c r="G4" s="47" t="str">
        <x:v>URL</x:v>
      </x:c>
      <x:c r="H4" s="48" t="str">
        <x:v>Use in model</x:v>
      </x:c>
    </x:row>
    <x:row r="5">
      <x:c r="A5" s="58" t="str">
        <x:v>Snake Plant</x:v>
      </x:c>
      <x:c r="B5" s="59" t="str">
        <x:v>The Discount Plant Company</x:v>
      </x:c>
      <x:c r="C5" s="59" t="str">
        <x:v>Sansevieria trifasciata 'Laurentii'</x:v>
      </x:c>
      <x:c r="D5" s="67" t="n">
        <x:v>10</x:v>
      </x:c>
      <x:c r="E5" s="59" t="str">
        <x:v>35–45cm; 12cm nursery pot</x:v>
      </x:c>
      <x:c r="F5" s="59" t="str">
        <x:v>Taxes included</x:v>
      </x:c>
      <x:c r="G5" s="59" t="str">
        <x:v>https://www.discountplantco.co.uk/products/plants-snake-plant</x:v>
      </x:c>
      <x:c r="H5" s="60" t="str">
        <x:v>Primary public-price proxy</x:v>
      </x:c>
    </x:row>
    <x:row r="6">
      <x:c r="A6" s="61" t="str">
        <x:v>ZZ Plant</x:v>
      </x:c>
      <x:c r="B6" s="62" t="str">
        <x:v>The Discount Plant Company</x:v>
      </x:c>
      <x:c r="C6" s="62" t="str">
        <x:v>Zamioculcas zamiifolia</x:v>
      </x:c>
      <x:c r="D6" s="68" t="n">
        <x:v>9</x:v>
      </x:c>
      <x:c r="E6" s="62" t="str">
        <x:v>40–50cm; 12cm nursery pot</x:v>
      </x:c>
      <x:c r="F6" s="62" t="str">
        <x:v>Taxes included</x:v>
      </x:c>
      <x:c r="G6" s="62" t="str">
        <x:v>https://www.discountplantco.co.uk/products/plants-zz-plant</x:v>
      </x:c>
      <x:c r="H6" s="63" t="str">
        <x:v>Primary public-price proxy</x:v>
      </x:c>
    </x:row>
    <x:row r="7">
      <x:c r="A7" s="61" t="str">
        <x:v>Peace Lily</x:v>
      </x:c>
      <x:c r="B7" s="62" t="str">
        <x:v>The Discount Plant Company</x:v>
      </x:c>
      <x:c r="C7" s="62" t="str">
        <x:v>Spathiphyllum wallisii</x:v>
      </x:c>
      <x:c r="D7" s="68" t="n">
        <x:v>9</x:v>
      </x:c>
      <x:c r="E7" s="62" t="str">
        <x:v>30–40cm; 13cm nursery pot</x:v>
      </x:c>
      <x:c r="F7" s="62" t="str">
        <x:v>Taxes included</x:v>
      </x:c>
      <x:c r="G7" s="62" t="str">
        <x:v>https://www.discountplantco.co.uk/products/plants-peace-lily</x:v>
      </x:c>
      <x:c r="H7" s="63" t="str">
        <x:v>Primary public-price proxy</x:v>
      </x:c>
    </x:row>
    <x:row r="8">
      <x:c r="A8" s="64" t="str">
        <x:v>Money Tree</x:v>
      </x:c>
      <x:c r="B8" s="65" t="str">
        <x:v>Plants For All Seasons</x:v>
      </x:c>
      <x:c r="C8" s="65" t="str">
        <x:v>Pachira aquatica</x:v>
      </x:c>
      <x:c r="D8" s="69" t="n">
        <x:v>29.99</x:v>
      </x:c>
      <x:c r="E8" s="65" t="str">
        <x:v>75–90cm; 17cm multi-stem</x:v>
      </x:c>
      <x:c r="F8" s="65" t="str">
        <x:v>Public listed price</x:v>
      </x:c>
      <x:c r="G8" s="65" t="str">
        <x:v>https://www.plantsforallseasons.co.uk/products/pachira-aquatica-money-tree-house-plant</x:v>
      </x:c>
      <x:c r="H8" s="66" t="str">
        <x:v>Primary public-price proxy</x:v>
      </x:c>
    </x:row>
    <x:row r="10">
      <x:c r="A10" s="150" t="str">
        <x:v>Verify live availability, size, VAT treatment, delivery, and plant-passport documentation before ordering.</x:v>
      </x:c>
      <x:c r="B10" s="151"/>
      <x:c r="C10" s="151"/>
      <x:c r="D10" s="151"/>
      <x:c r="E10" s="151"/>
      <x:c r="F10" s="151"/>
      <x:c r="G10" s="151"/>
      <x:c r="H10" s="152"/>
    </x:row>
  </x:sheetData>
  <x:mergeCells>
    <x:mergeCell ref="A1:H1"/>
    <x:mergeCell ref="A2:H2"/>
    <x:mergeCell ref="A10:H10"/>
  </x:mergeCells>
  <x:pageMargins left="0.7" right="0.7" top="0.75" bottom="0.75" header="0.3" footer="0.3"/>
</x:worksheet>
</file>